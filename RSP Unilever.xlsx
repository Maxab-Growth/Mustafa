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sem.hesham_maxab\Downloads\"/>
    </mc:Choice>
  </mc:AlternateContent>
  <xr:revisionPtr revIDLastSave="0" documentId="8_{772E7FA8-5300-45EE-BDF9-2B0A2414A1FE}" xr6:coauthVersionLast="47" xr6:coauthVersionMax="47" xr10:uidLastSave="{00000000-0000-0000-0000-000000000000}"/>
  <bookViews>
    <workbookView xWindow="-120" yWindow="-120" windowWidth="20730" windowHeight="11040" xr2:uid="{3AEA3D8E-49F8-4666-8B08-C4CE4AFF0F1C}"/>
  </bookViews>
  <sheets>
    <sheet name="Sheet1" sheetId="1" r:id="rId1"/>
  </sheets>
  <definedNames>
    <definedName name="_xlnm._FilterDatabase" localSheetId="0" hidden="1">Sheet1!$A$1:$D$23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1" i="1"/>
  <c r="C20" i="1"/>
  <c r="C12" i="1"/>
  <c r="C19" i="1"/>
  <c r="C18" i="1"/>
  <c r="C17" i="1"/>
  <c r="C8" i="1"/>
  <c r="C10" i="1"/>
  <c r="C11" i="1"/>
  <c r="C9" i="1"/>
  <c r="C7" i="1"/>
  <c r="C6" i="1"/>
  <c r="C3" i="1"/>
  <c r="C2" i="1"/>
</calcChain>
</file>

<file path=xl/sharedStrings.xml><?xml version="1.0" encoding="utf-8"?>
<sst xmlns="http://schemas.openxmlformats.org/spreadsheetml/2006/main" count="45" uniqueCount="45">
  <si>
    <t>ID</t>
  </si>
  <si>
    <t>SKU</t>
  </si>
  <si>
    <t>كامي صابون كلاسيك - 115 جم</t>
  </si>
  <si>
    <t>كامي صابون اناقة- 115 جم</t>
  </si>
  <si>
    <t>كلير شامبو- 5 مل</t>
  </si>
  <si>
    <t>صانسيلك اكياس شامبو للشعر الاسود- 240 كيس 7 مل</t>
  </si>
  <si>
    <t>كامي صابون رومانسية- 115 جم</t>
  </si>
  <si>
    <t>كامي صابون حيوية- 115 جم</t>
  </si>
  <si>
    <t>لوكس صابون حلم السعادة  - 115 جم</t>
  </si>
  <si>
    <t>كامي صابون اناقة- 165 جم</t>
  </si>
  <si>
    <t>كامي صابون كلاسيكية- 165 جم</t>
  </si>
  <si>
    <t>كامي صابون رومانسية- 165 جم</t>
  </si>
  <si>
    <t>لوكس صابون حلم السعاده / برتقالي 165جرام 48</t>
  </si>
  <si>
    <t>لوكس صابون سحر الاوركيد 75 جم</t>
  </si>
  <si>
    <t>لوكس صابون يشره نضره 75 جم</t>
  </si>
  <si>
    <t>لوكس صابون  بشره مثاليه 75 جم</t>
  </si>
  <si>
    <t>كلير شامبو حريم - 5مل</t>
  </si>
  <si>
    <t>لوكس صابون بشرة مثالية - 115 جم " ابيض"</t>
  </si>
  <si>
    <t>لوكس صابون بشرة نضرة - 115 جم "لمسة"</t>
  </si>
  <si>
    <t>لوكس صابون سحر الاوركيد - 115 جم "سحر"</t>
  </si>
  <si>
    <t>لوكس صابون بشره نضره 165جم</t>
  </si>
  <si>
    <t>لوكس صابون سحر الاوركيد 165 جم</t>
  </si>
  <si>
    <t>لوكس صابون بشرة مثالية 165 جم</t>
  </si>
  <si>
    <t>صابون لوكس حلم السعادة - 75 جم</t>
  </si>
  <si>
    <t>Market price</t>
  </si>
  <si>
    <t>RSP</t>
  </si>
  <si>
    <t>كنور خلطه البرجر - 30 جم</t>
  </si>
  <si>
    <t>كنور فيجيتار عادي حجم التوفير - 250 جم</t>
  </si>
  <si>
    <t>كنور فيجيتار حار حجم التوفير - 250 جم</t>
  </si>
  <si>
    <t>كنور خلطة كفتة- 35 جم</t>
  </si>
  <si>
    <t>كنور خلطة بطاطس - 6 جم</t>
  </si>
  <si>
    <t>كنور خلطه 11 بهار - 6 جم</t>
  </si>
  <si>
    <t>كنور خلطه فيجيتار اكسترا كرسبي  - 55 جم</t>
  </si>
  <si>
    <t>كنور خلطة المفروم عرض 50 % كمية اكثر  - 70 جم</t>
  </si>
  <si>
    <t>كنور فيجيتار عادي- 35 جم</t>
  </si>
  <si>
    <t>كنور فيجيتار حار - 35 جم</t>
  </si>
  <si>
    <t>كنور فاين فودز  مرقة خضروات عرض خاص- 12 مكعب</t>
  </si>
  <si>
    <t>كنور فاين فودز مرقة دجاج عرض خاص - 12 مكعب 108 جرام</t>
  </si>
  <si>
    <t>فاين فودز مرقة خضار 8 مكعب- 72 جم</t>
  </si>
  <si>
    <t>فاين فودز مرقة دجاج 8 مكعب- 72 جم</t>
  </si>
  <si>
    <t>فاين فودز مرقة دجاج شريط- 8 جم</t>
  </si>
  <si>
    <t>كنور فاين فودز  مرقة لحمة - 12 مكعب</t>
  </si>
  <si>
    <t>فاين فودز مرقة لحمة 8 مكعب- 72 جم</t>
  </si>
  <si>
    <t>كنور مرقة دجاج فورية ظرف 40كيس - 6 جم</t>
  </si>
  <si>
    <t>كنور خلطة بشاميل- 70 جم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</si>
</sst>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1" fontId="0" fillId="0" borderId="0" xfId="1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BA55-BE2E-4D12-845A-FDF354918545}">
  <dimension ref="A1:H42"/>
  <sheetViews>
    <sheetView tabSelected="1" topLeftCell="A21" workbookViewId="0">
      <selection sqref="A1:D42"/>
    </sheetView>
  </sheetViews>
  <sheetFormatPr defaultRowHeight="14.25"/>
  <cols>
    <col min="1" max="1" width="5.875" style="2" bestFit="1" customWidth="1"/>
    <col min="2" max="2" width="34.25" style="2" bestFit="1" customWidth="1"/>
    <col min="3" max="3" width="11.875" style="3" bestFit="1" customWidth="1"/>
    <col min="4" max="6" width="9" style="2"/>
    <col min="7" max="7" width="9.875" style="2" bestFit="1" customWidth="1"/>
    <col min="8" max="8" width="12.625" style="2" bestFit="1" customWidth="1"/>
    <col min="9" max="16384" width="9" style="2"/>
  </cols>
  <sheetData>
    <row r="1" spans="1:8" ht="19.5" customHeight="1">
      <c r="A1" s="6" t="s">
        <v>0</v>
      </c>
      <c r="B1" s="6" t="s">
        <v>1</v>
      </c>
      <c r="C1" s="7" t="s">
        <v>24</v>
      </c>
      <c r="D1" s="6" t="s">
        <v>25</v>
      </c>
    </row>
    <row r="2" spans="1:8">
      <c r="A2" s="1">
        <v>8285</v>
      </c>
      <c r="B2" s="1" t="s">
        <v>2</v>
      </c>
      <c r="C2" s="4">
        <f>695/12</f>
        <v>57.916666666666664</v>
      </c>
      <c r="D2" s="1">
        <v>57</v>
      </c>
    </row>
    <row r="3" spans="1:8">
      <c r="A3" s="1">
        <v>8283</v>
      </c>
      <c r="B3" s="1" t="s">
        <v>3</v>
      </c>
      <c r="C3" s="4">
        <f>695/12</f>
        <v>57.916666666666664</v>
      </c>
      <c r="D3" s="1">
        <v>57</v>
      </c>
    </row>
    <row r="4" spans="1:8">
      <c r="A4" s="1">
        <v>1801</v>
      </c>
      <c r="B4" s="1" t="s">
        <v>4</v>
      </c>
      <c r="C4" s="4">
        <v>285</v>
      </c>
      <c r="D4" s="1">
        <v>280</v>
      </c>
    </row>
    <row r="5" spans="1:8">
      <c r="A5" s="1">
        <v>2331</v>
      </c>
      <c r="B5" s="1" t="s">
        <v>5</v>
      </c>
      <c r="C5" s="4">
        <v>235</v>
      </c>
      <c r="D5" s="1">
        <v>230</v>
      </c>
    </row>
    <row r="6" spans="1:8">
      <c r="A6" s="1">
        <v>8286</v>
      </c>
      <c r="B6" s="1" t="s">
        <v>6</v>
      </c>
      <c r="C6" s="4">
        <f t="shared" ref="C6:C7" si="0">695/12</f>
        <v>57.916666666666664</v>
      </c>
      <c r="D6" s="1">
        <v>57</v>
      </c>
    </row>
    <row r="7" spans="1:8">
      <c r="A7" s="1">
        <v>8284</v>
      </c>
      <c r="B7" s="1" t="s">
        <v>7</v>
      </c>
      <c r="C7" s="4">
        <f t="shared" si="0"/>
        <v>57.916666666666664</v>
      </c>
      <c r="D7" s="1">
        <v>57</v>
      </c>
    </row>
    <row r="8" spans="1:8">
      <c r="A8" s="1">
        <v>9065</v>
      </c>
      <c r="B8" s="1" t="s">
        <v>8</v>
      </c>
      <c r="C8" s="4">
        <f>735/8</f>
        <v>91.875</v>
      </c>
      <c r="D8" s="1">
        <v>91</v>
      </c>
    </row>
    <row r="9" spans="1:8">
      <c r="A9" s="1">
        <v>8753</v>
      </c>
      <c r="B9" s="1" t="s">
        <v>9</v>
      </c>
      <c r="C9" s="4">
        <f>970/12</f>
        <v>80.833333333333329</v>
      </c>
      <c r="D9" s="1">
        <v>80</v>
      </c>
    </row>
    <row r="10" spans="1:8">
      <c r="A10" s="1">
        <v>8754</v>
      </c>
      <c r="B10" s="1" t="s">
        <v>10</v>
      </c>
      <c r="C10" s="4">
        <f t="shared" ref="C10:C11" si="1">970/12</f>
        <v>80.833333333333329</v>
      </c>
      <c r="D10" s="1">
        <v>80</v>
      </c>
      <c r="H10" s="5"/>
    </row>
    <row r="11" spans="1:8">
      <c r="A11" s="1">
        <v>8756</v>
      </c>
      <c r="B11" s="1" t="s">
        <v>11</v>
      </c>
      <c r="C11" s="4">
        <f t="shared" si="1"/>
        <v>80.833333333333329</v>
      </c>
      <c r="D11" s="1">
        <v>80</v>
      </c>
    </row>
    <row r="12" spans="1:8">
      <c r="A12" s="1">
        <v>9396</v>
      </c>
      <c r="B12" s="1" t="s">
        <v>12</v>
      </c>
      <c r="C12" s="4">
        <f>1205/8</f>
        <v>150.625</v>
      </c>
      <c r="D12" s="1">
        <v>149</v>
      </c>
    </row>
    <row r="13" spans="1:8">
      <c r="A13" s="1">
        <v>11427</v>
      </c>
      <c r="B13" s="1" t="s">
        <v>13</v>
      </c>
      <c r="C13" s="4">
        <v>47.5</v>
      </c>
      <c r="D13" s="1">
        <v>47</v>
      </c>
    </row>
    <row r="14" spans="1:8">
      <c r="A14" s="1">
        <v>11450</v>
      </c>
      <c r="B14" s="1" t="s">
        <v>14</v>
      </c>
      <c r="C14" s="4">
        <v>47.5</v>
      </c>
      <c r="D14" s="1">
        <v>47</v>
      </c>
    </row>
    <row r="15" spans="1:8">
      <c r="A15" s="1">
        <v>11435</v>
      </c>
      <c r="B15" s="1" t="s">
        <v>15</v>
      </c>
      <c r="C15" s="4">
        <v>47.5</v>
      </c>
      <c r="D15" s="1">
        <v>47</v>
      </c>
    </row>
    <row r="16" spans="1:8">
      <c r="A16" s="1">
        <v>11467</v>
      </c>
      <c r="B16" s="1" t="s">
        <v>16</v>
      </c>
      <c r="C16" s="4">
        <v>285</v>
      </c>
      <c r="D16" s="1">
        <v>280</v>
      </c>
    </row>
    <row r="17" spans="1:4">
      <c r="A17" s="1">
        <v>11687</v>
      </c>
      <c r="B17" s="1" t="s">
        <v>17</v>
      </c>
      <c r="C17" s="4">
        <f t="shared" ref="C17:C19" si="2">735/8</f>
        <v>91.875</v>
      </c>
      <c r="D17" s="1">
        <v>91</v>
      </c>
    </row>
    <row r="18" spans="1:4">
      <c r="A18" s="1">
        <v>11689</v>
      </c>
      <c r="B18" s="1" t="s">
        <v>18</v>
      </c>
      <c r="C18" s="4">
        <f t="shared" si="2"/>
        <v>91.875</v>
      </c>
      <c r="D18" s="1">
        <v>91</v>
      </c>
    </row>
    <row r="19" spans="1:4">
      <c r="A19" s="1">
        <v>11690</v>
      </c>
      <c r="B19" s="1" t="s">
        <v>19</v>
      </c>
      <c r="C19" s="4">
        <f t="shared" si="2"/>
        <v>91.875</v>
      </c>
      <c r="D19" s="1">
        <v>91</v>
      </c>
    </row>
    <row r="20" spans="1:4">
      <c r="A20" s="1">
        <v>11885</v>
      </c>
      <c r="B20" s="1" t="s">
        <v>20</v>
      </c>
      <c r="C20" s="4">
        <f t="shared" ref="C20:C22" si="3">1205/8</f>
        <v>150.625</v>
      </c>
      <c r="D20" s="1">
        <v>149</v>
      </c>
    </row>
    <row r="21" spans="1:4">
      <c r="A21" s="1">
        <v>11886</v>
      </c>
      <c r="B21" s="1" t="s">
        <v>21</v>
      </c>
      <c r="C21" s="4">
        <f t="shared" si="3"/>
        <v>150.625</v>
      </c>
      <c r="D21" s="1">
        <v>149</v>
      </c>
    </row>
    <row r="22" spans="1:4">
      <c r="A22" s="1">
        <v>11887</v>
      </c>
      <c r="B22" s="1" t="s">
        <v>22</v>
      </c>
      <c r="C22" s="4">
        <f t="shared" si="3"/>
        <v>150.625</v>
      </c>
      <c r="D22" s="1">
        <v>149</v>
      </c>
    </row>
    <row r="23" spans="1:4">
      <c r="A23" s="1">
        <v>1095</v>
      </c>
      <c r="B23" s="1" t="s">
        <v>23</v>
      </c>
      <c r="C23" s="4">
        <v>47.5</v>
      </c>
      <c r="D23" s="1">
        <v>47</v>
      </c>
    </row>
    <row r="24" spans="1:4">
      <c r="A24" s="1">
        <v>9820</v>
      </c>
      <c r="B24" s="1" t="s">
        <v>26</v>
      </c>
      <c r="C24" s="1">
        <v>66</v>
      </c>
      <c r="D24" s="1">
        <v>65</v>
      </c>
    </row>
    <row r="25" spans="1:4">
      <c r="A25" s="1">
        <v>11226</v>
      </c>
      <c r="B25" s="1" t="s">
        <v>27</v>
      </c>
      <c r="C25" s="1">
        <v>630</v>
      </c>
      <c r="D25" s="1">
        <v>625</v>
      </c>
    </row>
    <row r="26" spans="1:4">
      <c r="A26" s="1">
        <v>12128</v>
      </c>
      <c r="B26" s="1" t="s">
        <v>28</v>
      </c>
      <c r="C26" s="1">
        <v>638</v>
      </c>
      <c r="D26" s="1">
        <v>625</v>
      </c>
    </row>
    <row r="27" spans="1:4">
      <c r="A27" s="1">
        <v>209</v>
      </c>
      <c r="B27" s="1" t="s">
        <v>29</v>
      </c>
      <c r="C27" s="1">
        <v>218</v>
      </c>
      <c r="D27" s="1">
        <v>215</v>
      </c>
    </row>
    <row r="28" spans="1:4">
      <c r="A28" s="1">
        <v>5584</v>
      </c>
      <c r="B28" s="1" t="s">
        <v>30</v>
      </c>
      <c r="C28" s="1">
        <v>111.5</v>
      </c>
      <c r="D28" s="1">
        <v>105</v>
      </c>
    </row>
    <row r="29" spans="1:4">
      <c r="A29" s="1">
        <v>5585</v>
      </c>
      <c r="B29" s="1" t="s">
        <v>31</v>
      </c>
      <c r="C29" s="1">
        <v>109</v>
      </c>
      <c r="D29" s="1">
        <v>105</v>
      </c>
    </row>
    <row r="30" spans="1:4">
      <c r="A30" s="1">
        <v>5577</v>
      </c>
      <c r="B30" s="1" t="s">
        <v>32</v>
      </c>
      <c r="C30" s="1">
        <v>133</v>
      </c>
      <c r="D30" s="1">
        <v>130</v>
      </c>
    </row>
    <row r="31" spans="1:4">
      <c r="A31" s="1">
        <v>12010</v>
      </c>
      <c r="B31" s="1" t="s">
        <v>33</v>
      </c>
      <c r="C31" s="1">
        <v>182.5</v>
      </c>
      <c r="D31" s="1">
        <v>180</v>
      </c>
    </row>
    <row r="32" spans="1:4">
      <c r="A32" s="1">
        <v>105</v>
      </c>
      <c r="B32" s="1" t="s">
        <v>34</v>
      </c>
      <c r="C32" s="1">
        <v>110</v>
      </c>
      <c r="D32" s="1">
        <v>105</v>
      </c>
    </row>
    <row r="33" spans="1:4">
      <c r="A33" s="1">
        <v>114</v>
      </c>
      <c r="B33" s="1" t="s">
        <v>35</v>
      </c>
      <c r="C33" s="1">
        <v>110</v>
      </c>
      <c r="D33" s="1">
        <v>105</v>
      </c>
    </row>
    <row r="34" spans="1:4">
      <c r="A34" s="1">
        <v>3609</v>
      </c>
      <c r="B34" s="1" t="s">
        <v>36</v>
      </c>
      <c r="C34" s="1">
        <v>132</v>
      </c>
      <c r="D34" s="1">
        <v>125</v>
      </c>
    </row>
    <row r="35" spans="1:4">
      <c r="A35" s="1">
        <v>11485</v>
      </c>
      <c r="B35" s="1" t="s">
        <v>37</v>
      </c>
      <c r="C35" s="1">
        <v>130</v>
      </c>
      <c r="D35" s="1">
        <v>125</v>
      </c>
    </row>
    <row r="36" spans="1:4">
      <c r="A36" s="1">
        <v>1880</v>
      </c>
      <c r="B36" s="1" t="s">
        <v>38</v>
      </c>
      <c r="C36" s="1">
        <v>130</v>
      </c>
      <c r="D36" s="1">
        <v>125</v>
      </c>
    </row>
    <row r="37" spans="1:4">
      <c r="A37" s="1">
        <v>109</v>
      </c>
      <c r="B37" s="1" t="s">
        <v>39</v>
      </c>
      <c r="C37" s="1">
        <v>130</v>
      </c>
      <c r="D37" s="1">
        <v>125</v>
      </c>
    </row>
    <row r="38" spans="1:4">
      <c r="A38" s="1">
        <v>159</v>
      </c>
      <c r="B38" s="1" t="s">
        <v>40</v>
      </c>
      <c r="C38" s="1">
        <v>38.75</v>
      </c>
      <c r="D38" s="1">
        <v>37</v>
      </c>
    </row>
    <row r="39" spans="1:4">
      <c r="A39" s="1">
        <v>3610</v>
      </c>
      <c r="B39" s="1" t="s">
        <v>41</v>
      </c>
      <c r="C39" s="1">
        <v>139</v>
      </c>
      <c r="D39" s="1">
        <v>135</v>
      </c>
    </row>
    <row r="40" spans="1:4">
      <c r="A40" s="1">
        <v>512</v>
      </c>
      <c r="B40" s="1" t="s">
        <v>42</v>
      </c>
      <c r="C40" s="1">
        <v>132</v>
      </c>
      <c r="D40" s="1">
        <v>130</v>
      </c>
    </row>
    <row r="41" spans="1:4">
      <c r="A41" s="1">
        <v>6575</v>
      </c>
      <c r="B41" s="1" t="s">
        <v>43</v>
      </c>
      <c r="C41" s="1">
        <v>109</v>
      </c>
      <c r="D41" s="1">
        <v>105</v>
      </c>
    </row>
    <row r="42" spans="1:4">
      <c r="A42" s="1">
        <v>440</v>
      </c>
      <c r="B42" s="1" t="s">
        <v>44</v>
      </c>
      <c r="C42" s="1">
        <v>146</v>
      </c>
      <c r="D42" s="1">
        <v>140</v>
      </c>
    </row>
  </sheetData>
  <autoFilter ref="A1:D23" xr:uid="{47B1BA55-BE2E-4D12-845A-FDF3549185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MaxAB</dc:creator>
  <cp:lastModifiedBy>MaxAB</cp:lastModifiedBy>
  <dcterms:created xsi:type="dcterms:W3CDTF">2026-02-25T08:30:51Z</dcterms:created>
  <dcterms:modified xsi:type="dcterms:W3CDTF">2026-02-25T09:19:42Z</dcterms:modified>
</cp:coreProperties>
</file>